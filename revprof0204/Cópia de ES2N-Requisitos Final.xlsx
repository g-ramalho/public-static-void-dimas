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okpublic-static-void-dimas\revprof0204\"/>
    </mc:Choice>
  </mc:AlternateContent>
  <xr:revisionPtr revIDLastSave="0" documentId="13_ncr:1_{6510325E-05CB-4E6F-949E-AE94D7AB1954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14" i="1"/>
  <c r="G13" i="1"/>
  <c r="G12" i="1"/>
  <c r="G11" i="1"/>
  <c r="G10" i="1"/>
  <c r="G9" i="1"/>
  <c r="G6" i="1"/>
  <c r="G2" i="1"/>
</calcChain>
</file>

<file path=xl/sharedStrings.xml><?xml version="1.0" encoding="utf-8"?>
<sst xmlns="http://schemas.openxmlformats.org/spreadsheetml/2006/main" count="186" uniqueCount="130">
  <si>
    <t>Categoria</t>
  </si>
  <si>
    <t>Código</t>
  </si>
  <si>
    <t>Nome Requisito</t>
  </si>
  <si>
    <t>Descrição requisito</t>
  </si>
  <si>
    <t>Atores</t>
  </si>
  <si>
    <t>Prioridade</t>
  </si>
  <si>
    <t>Requisitos Sequenciais</t>
  </si>
  <si>
    <t>Requisitos Funcionais</t>
  </si>
  <si>
    <t>RF01</t>
  </si>
  <si>
    <t>Fazer Login</t>
  </si>
  <si>
    <t>Esse requisito permite ao usuário acessar o sistema.</t>
  </si>
  <si>
    <t>VISITANTE</t>
  </si>
  <si>
    <t>Alta</t>
  </si>
  <si>
    <t>RF02</t>
  </si>
  <si>
    <t>Fazer Logout</t>
  </si>
  <si>
    <t>Esse requisito permite ao usuário sair do sistema.</t>
  </si>
  <si>
    <t>CLIENTE, FUNCIONÁRIO</t>
  </si>
  <si>
    <t>RF03</t>
  </si>
  <si>
    <t>Recuperar Senha</t>
  </si>
  <si>
    <t>Esse requisito permite ao usuário recuperar sua senha caso tenha esquecido.</t>
  </si>
  <si>
    <t>Média</t>
  </si>
  <si>
    <t>RF04</t>
  </si>
  <si>
    <t>Realizar Cadastro</t>
  </si>
  <si>
    <t>Esse requisito permite realizar o cadastro na plataforma</t>
  </si>
  <si>
    <t>RF05</t>
  </si>
  <si>
    <t>Gerenciar Cliente</t>
  </si>
  <si>
    <t>Esse requisito permite ao cliente alterar ou excluir os próprios dados no aplicativo.</t>
  </si>
  <si>
    <t>CLIENTE</t>
  </si>
  <si>
    <t>RF06</t>
  </si>
  <si>
    <t>Gerenciar Veículo</t>
  </si>
  <si>
    <t>Esse requisito permite o gerenciamento dos veículos cadastrados por cada cliente.</t>
  </si>
  <si>
    <t>RF07</t>
  </si>
  <si>
    <t>Gerenciar Serviço</t>
  </si>
  <si>
    <t>Esse requisito permite definir os tipos de lavagem e serviços estéticos oferecidos pelo lava-rápido.</t>
  </si>
  <si>
    <t>ADMINISTRADOR</t>
  </si>
  <si>
    <t xml:space="preserve"> </t>
  </si>
  <si>
    <t>RF08</t>
  </si>
  <si>
    <t>Confirmar Agendamento</t>
  </si>
  <si>
    <t>Esse requisito permite confirmar um agendamento</t>
  </si>
  <si>
    <t>FUNCIONÁRIO</t>
  </si>
  <si>
    <t>RF09</t>
  </si>
  <si>
    <t>Gerenciar Horarios Disponíveis</t>
  </si>
  <si>
    <t>Esse requisito permite escolher os horarios disponiveis para agendarmento</t>
  </si>
  <si>
    <t>RF10</t>
  </si>
  <si>
    <t>Solicitar Agendamento</t>
  </si>
  <si>
    <t>Esse requisito permite solicitar agendamento dentre os horários disponíveis</t>
  </si>
  <si>
    <t>RF11</t>
  </si>
  <si>
    <t>Solicitar Alteração de Agendamento</t>
  </si>
  <si>
    <t>Esse requisito permite alterar a data dos agendamentos até 24h antes</t>
  </si>
  <si>
    <t>RF12</t>
  </si>
  <si>
    <t>Cancelar Agendamento</t>
  </si>
  <si>
    <t>Esse requisito permite Cancelar agendamentos até 24h antes</t>
  </si>
  <si>
    <t>RF13</t>
  </si>
  <si>
    <t>Gerenciar Ordem de Serviço</t>
  </si>
  <si>
    <t>Esse requisito formaliza a entrada do veículo e acompanha todo o histórico do fluxo de trabalho prestado.</t>
  </si>
  <si>
    <t>RF14</t>
  </si>
  <si>
    <t>Gerenciar Produto e Insumo</t>
  </si>
  <si>
    <t>Esse requisito mantém o catálogo de produtos disponíveis e monitora os níveis por medição de volume e peso.</t>
  </si>
  <si>
    <t>RF15</t>
  </si>
  <si>
    <t>Registrar Entrada de Estoque</t>
  </si>
  <si>
    <t>Esse requisito permite a inserção manual de informações sobre as novas compras de materiais fornecidas ao sistema.</t>
  </si>
  <si>
    <t>RF16</t>
  </si>
  <si>
    <t>Calcular Baixa de Estoque</t>
  </si>
  <si>
    <t>Esse requisito realiza a baixa automática no estoque a partir da conclusão de um serviço cadastrado.</t>
  </si>
  <si>
    <t>RF17</t>
  </si>
  <si>
    <t>Realizar Pagamento</t>
  </si>
  <si>
    <t>Esse requisito permite realizar o pagamento de um serviço</t>
  </si>
  <si>
    <t>RF18</t>
  </si>
  <si>
    <t>Lançar Pagamento</t>
  </si>
  <si>
    <t>Esse requisito permite lançar um pagamento no sistema</t>
  </si>
  <si>
    <t>FUNCIONÁRIO, SISTEMA</t>
  </si>
  <si>
    <t>RF19</t>
  </si>
  <si>
    <t>Cancelar Solicitação de pagamento</t>
  </si>
  <si>
    <t>Esse requisito permite cancelar a solicitação de pagamentos já lançados no sitema</t>
  </si>
  <si>
    <t>CLIENTE, SISTEMA</t>
  </si>
  <si>
    <t>RF20</t>
  </si>
  <si>
    <t>Emitir Nota Fiscal Eletrônica</t>
  </si>
  <si>
    <t>Esse requisito emite o documento fiscal automaticamente após o processamento financeiro.</t>
  </si>
  <si>
    <t>SISTEMA</t>
  </si>
  <si>
    <t>Baixa</t>
  </si>
  <si>
    <t>RF21</t>
  </si>
  <si>
    <t>Enviar Notificação</t>
  </si>
  <si>
    <t>Esse requisito dispara avisos automáticos aos clientes sobre confirmação de agendamentos e conclusão de serviços.</t>
  </si>
  <si>
    <t>RF22</t>
  </si>
  <si>
    <t>Enviar Alerta de Estoque</t>
  </si>
  <si>
    <t>Esse requisito notifica o administrador automaticamente quando os níveis de produtos estiverem baixos.</t>
  </si>
  <si>
    <t>RF23</t>
  </si>
  <si>
    <t>Gerar Relatório Operacional</t>
  </si>
  <si>
    <t>Esse requisito compila e exibe dados sobre os custos operacionais e o consumo de insumos.</t>
  </si>
  <si>
    <t>RF24</t>
  </si>
  <si>
    <t>Gerar Relatório de Faturamento</t>
  </si>
  <si>
    <t>Esse requisito consolida dados financeiros para exibir relatórios de receitas e margens de lucro líquido.</t>
  </si>
  <si>
    <t>RF25</t>
  </si>
  <si>
    <t>Gerenciar Usuário</t>
  </si>
  <si>
    <t>Esse requisito permite cadastrar, remover e alterar usuarios</t>
  </si>
  <si>
    <t>Requisitos Nao Funcionais</t>
  </si>
  <si>
    <t>RNF01</t>
  </si>
  <si>
    <t>Usabilidade</t>
  </si>
  <si>
    <t>-</t>
  </si>
  <si>
    <t>RNF02</t>
  </si>
  <si>
    <t>Segurança</t>
  </si>
  <si>
    <t>RNF03</t>
  </si>
  <si>
    <t>RNF04</t>
  </si>
  <si>
    <t>Confiabilidade</t>
  </si>
  <si>
    <t>O sistema deve ter uma disponibilidade de no mínimo 90%.</t>
  </si>
  <si>
    <t>RNF05</t>
  </si>
  <si>
    <t>Legislativo</t>
  </si>
  <si>
    <t>O sistema deverá seguir regras do documento 10/2021 do Banco Central no que diz respeito à audibilidade das transações.</t>
  </si>
  <si>
    <t>RNF06</t>
  </si>
  <si>
    <t>Operacional</t>
  </si>
  <si>
    <t>O produto deve ser acessável através do endereço https://newcar.com</t>
  </si>
  <si>
    <t>RNF07</t>
  </si>
  <si>
    <t>Desenvolvimento</t>
  </si>
  <si>
    <t>O sistema deverá ser desenvolvido utilizando a linguagem Rust no backend e JavaScript no frontend.</t>
  </si>
  <si>
    <t>RNF08</t>
  </si>
  <si>
    <t>Manutentabilidade</t>
  </si>
  <si>
    <t>RNF09</t>
  </si>
  <si>
    <t>A hospedagem do software e do banco de dados será realizada em nuvem.</t>
  </si>
  <si>
    <t>Requisitos Não Funcionais
    • O sistema deve se comunicar com a API do WhatsApp Business para o envio de mensagens.
    • A plataforma deve se integrar com balanças digitais via microcontroladores ESP32 para a medição contínua de insumos.
    • A aplicação deve se conectar a gateways de pagamento para processamento e conciliação de transações financeiras.
    • O sistema precisa de comunicação com as interfaces de programação governamentais para a emissão automatizada de notas fiscais.
    • O armazenamento de dados de clientes e o processamento de transações exigem a implementação de criptografia e conformidade com normas de segurança do setor financeiro.
    • O sistema deve garantir a conformidade com a LGPD no tratamento, armazenamento e exclusão de dados pessoais dos clientes, em especial observância aos Artigos 7º, 15, 16, 18 e 46 da Lei nº 13.709/2018.
    • Os equipamentos de hardware instalados no local devem possuir proteção adequada contra umidade para garantir uma transmissão de dados estável.
    • 
    • O sistema não irá realizar o controle de compras do estoque. Essas informações serão fornecidas de forma manual ao sistema.</t>
  </si>
  <si>
    <t>A interface deverá ter uma fácil navegação.  Subjetivo</t>
  </si>
  <si>
    <t>O sistema deve processar n requisições por minuto. Quanto é n??</t>
  </si>
  <si>
    <t>EXEMP LOO código deve manter uma cobertura de testes unitários superior a 80% e complexidade ciclomática média inferior a 10</t>
  </si>
  <si>
    <t>Código deve ser organizado e fácil de modificar. Subjetivo</t>
  </si>
  <si>
    <t xml:space="preserve">A senha deve ser criptografada. </t>
  </si>
  <si>
    <t>FALAR DA LGPD E ARTIGOS</t>
  </si>
  <si>
    <t>NÃO PRECISA APARECER AQUI POIS E FUNCAO DO SISTEMA. TRIGGER??</t>
  </si>
  <si>
    <t>MESMA OBS ACIMA</t>
  </si>
  <si>
    <t>NÃO SERIA OBRIGATORIO?? NÃO SERIA NA CONCLUSAO DO SERVICO??</t>
  </si>
  <si>
    <t>sera que vai emitir mesmo toda vez??</t>
  </si>
  <si>
    <t>Desempenho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</si>
</sst>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8"/>
      <color rgb="FF000000"/>
      <name val="Calibri"/>
    </font>
    <font>
      <sz val="18"/>
      <color rgb="FF000000"/>
      <name val="Calibri"/>
    </font>
    <font>
      <b/>
      <sz val="26"/>
      <color rgb="FF000000"/>
      <name val="Calibri"/>
    </font>
    <font>
      <sz val="12"/>
      <color rgb="FF000000"/>
      <name val="Calibri"/>
    </font>
    <font>
      <sz val="11"/>
      <color rgb="FFC9211E"/>
      <name val="Calibri"/>
    </font>
    <font>
      <sz val="10"/>
      <color theme="1"/>
      <name val="Arial"/>
      <scheme val="minor"/>
    </font>
    <font>
      <sz val="11"/>
      <color rgb="FFC9211E"/>
      <name val="Calibri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3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3" borderId="0" xfId="0" applyFont="1" applyFill="1" applyAlignment="1">
      <alignment horizontal="left" wrapText="1"/>
    </xf>
    <xf numFmtId="0" fontId="0" fillId="3" borderId="0" xfId="0" applyFill="1"/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8" fillId="3" borderId="0" xfId="0" applyFont="1" applyFill="1"/>
    <xf numFmtId="0" fontId="3" fillId="0" borderId="0" xfId="0" applyFont="1" applyAlignment="1">
      <alignment horizontal="center" vertical="center" textRotation="90"/>
    </xf>
    <xf numFmtId="0" fontId="0" fillId="0" borderId="0" xfId="0"/>
    <xf numFmtId="0" fontId="7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9"/>
  <sheetViews>
    <sheetView tabSelected="1" topLeftCell="B28" workbookViewId="0">
      <selection activeCell="D37" sqref="D37"/>
    </sheetView>
  </sheetViews>
  <sheetFormatPr defaultColWidth="12.6640625" defaultRowHeight="15.75" customHeight="1" x14ac:dyDescent="0.25"/>
  <cols>
    <col min="1" max="1" width="16.44140625" customWidth="1"/>
    <col min="2" max="2" width="16.77734375" customWidth="1"/>
    <col min="3" max="3" width="35.33203125" customWidth="1"/>
    <col min="4" max="4" width="40" customWidth="1"/>
    <col min="5" max="5" width="23" customWidth="1"/>
    <col min="6" max="6" width="14" customWidth="1"/>
    <col min="7" max="7" width="43.6640625" customWidth="1"/>
    <col min="8" max="8" width="32.88671875" customWidth="1"/>
    <col min="9" max="9" width="15.88671875" customWidth="1"/>
    <col min="10" max="10" width="16" customWidth="1"/>
  </cols>
  <sheetData>
    <row r="1" spans="1:9" ht="15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9" ht="15.75" customHeight="1" x14ac:dyDescent="0.3">
      <c r="A2" s="18" t="s">
        <v>7</v>
      </c>
      <c r="B2" s="5" t="s">
        <v>8</v>
      </c>
      <c r="C2" s="6" t="s">
        <v>9</v>
      </c>
      <c r="D2" s="7" t="s">
        <v>10</v>
      </c>
      <c r="E2" s="5" t="s">
        <v>11</v>
      </c>
      <c r="F2" s="5" t="s">
        <v>12</v>
      </c>
      <c r="G2" s="8" t="str">
        <f>"Pode executar " &amp; B$4 &amp; " (" &amp; C$4 &amp; ")"</f>
        <v>Pode executar RF03 (Recuperar Senha)</v>
      </c>
    </row>
    <row r="3" spans="1:9" ht="15.75" customHeight="1" x14ac:dyDescent="0.3">
      <c r="A3" s="19"/>
      <c r="B3" s="5" t="s">
        <v>13</v>
      </c>
      <c r="C3" s="6" t="s">
        <v>14</v>
      </c>
      <c r="D3" s="7" t="s">
        <v>15</v>
      </c>
      <c r="E3" s="5" t="s">
        <v>16</v>
      </c>
      <c r="F3" s="5" t="s">
        <v>12</v>
      </c>
      <c r="G3" s="8"/>
      <c r="H3" s="9"/>
    </row>
    <row r="4" spans="1:9" ht="15.75" customHeight="1" x14ac:dyDescent="0.3">
      <c r="A4" s="19"/>
      <c r="B4" s="5" t="s">
        <v>17</v>
      </c>
      <c r="C4" s="6" t="s">
        <v>18</v>
      </c>
      <c r="D4" s="7" t="s">
        <v>19</v>
      </c>
      <c r="E4" s="5" t="s">
        <v>11</v>
      </c>
      <c r="F4" s="5" t="s">
        <v>20</v>
      </c>
      <c r="G4" s="8"/>
      <c r="H4" s="9"/>
    </row>
    <row r="5" spans="1:9" ht="15.75" customHeight="1" x14ac:dyDescent="0.3">
      <c r="A5" s="19"/>
      <c r="B5" s="5" t="s">
        <v>21</v>
      </c>
      <c r="C5" s="6" t="s">
        <v>22</v>
      </c>
      <c r="D5" s="7" t="s">
        <v>23</v>
      </c>
      <c r="E5" s="5" t="s">
        <v>11</v>
      </c>
      <c r="F5" s="5" t="s">
        <v>12</v>
      </c>
      <c r="G5" s="8"/>
      <c r="H5" s="9"/>
    </row>
    <row r="6" spans="1:9" ht="15.75" customHeight="1" x14ac:dyDescent="0.3">
      <c r="A6" s="19"/>
      <c r="B6" s="5" t="s">
        <v>24</v>
      </c>
      <c r="C6" s="6" t="s">
        <v>25</v>
      </c>
      <c r="D6" s="7" t="s">
        <v>26</v>
      </c>
      <c r="E6" s="5" t="s">
        <v>27</v>
      </c>
      <c r="F6" s="5" t="s">
        <v>12</v>
      </c>
      <c r="G6" s="8" t="str">
        <f>"Pode executar " &amp; B$7&amp; " (" &amp; C$7 &amp; ")"</f>
        <v>Pode executar RF06 (Gerenciar Veículo)</v>
      </c>
      <c r="H6" s="9"/>
    </row>
    <row r="7" spans="1:9" ht="15.75" customHeight="1" x14ac:dyDescent="0.3">
      <c r="A7" s="19"/>
      <c r="B7" s="5" t="s">
        <v>28</v>
      </c>
      <c r="C7" s="6" t="s">
        <v>29</v>
      </c>
      <c r="D7" s="7" t="s">
        <v>30</v>
      </c>
      <c r="E7" s="5" t="s">
        <v>27</v>
      </c>
      <c r="F7" s="5" t="s">
        <v>12</v>
      </c>
      <c r="G7" s="8"/>
      <c r="H7" s="9"/>
    </row>
    <row r="8" spans="1:9" ht="15.75" customHeight="1" x14ac:dyDescent="0.3">
      <c r="A8" s="19"/>
      <c r="B8" s="5" t="s">
        <v>31</v>
      </c>
      <c r="C8" s="6" t="s">
        <v>32</v>
      </c>
      <c r="D8" s="7" t="s">
        <v>33</v>
      </c>
      <c r="E8" s="5" t="s">
        <v>34</v>
      </c>
      <c r="F8" s="5" t="s">
        <v>12</v>
      </c>
      <c r="G8" s="8" t="s">
        <v>35</v>
      </c>
      <c r="H8" s="9"/>
    </row>
    <row r="9" spans="1:9" ht="15.75" customHeight="1" x14ac:dyDescent="0.3">
      <c r="A9" s="19"/>
      <c r="B9" s="5" t="s">
        <v>36</v>
      </c>
      <c r="C9" s="6" t="s">
        <v>37</v>
      </c>
      <c r="D9" s="7" t="s">
        <v>38</v>
      </c>
      <c r="E9" s="5" t="s">
        <v>39</v>
      </c>
      <c r="F9" s="5" t="s">
        <v>12</v>
      </c>
      <c r="G9" s="16" t="str">
        <f t="shared" ref="G9:G10" si="0">"Pode executar " &amp; B$22 &amp; " (" &amp; C$22 &amp; ")"</f>
        <v>Pode executar RF21 (Enviar Notificação)</v>
      </c>
      <c r="H9" s="20" t="s">
        <v>125</v>
      </c>
    </row>
    <row r="10" spans="1:9" ht="15.75" customHeight="1" x14ac:dyDescent="0.3">
      <c r="A10" s="19"/>
      <c r="B10" s="5" t="s">
        <v>40</v>
      </c>
      <c r="C10" s="6" t="s">
        <v>41</v>
      </c>
      <c r="D10" s="7" t="s">
        <v>42</v>
      </c>
      <c r="E10" s="5" t="s">
        <v>34</v>
      </c>
      <c r="F10" s="5" t="s">
        <v>12</v>
      </c>
      <c r="G10" s="16" t="str">
        <f t="shared" si="0"/>
        <v>Pode executar RF21 (Enviar Notificação)</v>
      </c>
      <c r="H10" s="20"/>
    </row>
    <row r="11" spans="1:9" ht="15.75" customHeight="1" x14ac:dyDescent="0.3">
      <c r="A11" s="19"/>
      <c r="B11" s="5" t="s">
        <v>43</v>
      </c>
      <c r="C11" s="6" t="s">
        <v>44</v>
      </c>
      <c r="D11" s="7" t="s">
        <v>45</v>
      </c>
      <c r="E11" s="5" t="s">
        <v>27</v>
      </c>
      <c r="F11" s="5" t="s">
        <v>12</v>
      </c>
      <c r="G11" s="16" t="str">
        <f t="shared" ref="G11:G13" si="1">"Deve executar " &amp; B$22 &amp; " (" &amp; C$22 &amp; ")"</f>
        <v>Deve executar RF21 (Enviar Notificação)</v>
      </c>
      <c r="H11" s="20"/>
    </row>
    <row r="12" spans="1:9" ht="15.75" customHeight="1" x14ac:dyDescent="0.3">
      <c r="A12" s="19"/>
      <c r="B12" s="5" t="s">
        <v>46</v>
      </c>
      <c r="C12" s="6" t="s">
        <v>47</v>
      </c>
      <c r="D12" s="7" t="s">
        <v>48</v>
      </c>
      <c r="E12" s="5" t="s">
        <v>27</v>
      </c>
      <c r="F12" s="5" t="s">
        <v>12</v>
      </c>
      <c r="G12" s="16" t="str">
        <f t="shared" si="1"/>
        <v>Deve executar RF21 (Enviar Notificação)</v>
      </c>
      <c r="H12" s="20"/>
    </row>
    <row r="13" spans="1:9" ht="15.75" customHeight="1" x14ac:dyDescent="0.3">
      <c r="A13" s="19"/>
      <c r="B13" s="5" t="s">
        <v>49</v>
      </c>
      <c r="C13" s="6" t="s">
        <v>50</v>
      </c>
      <c r="D13" s="7" t="s">
        <v>51</v>
      </c>
      <c r="E13" s="5" t="s">
        <v>27</v>
      </c>
      <c r="F13" s="5" t="s">
        <v>12</v>
      </c>
      <c r="G13" s="16" t="str">
        <f t="shared" si="1"/>
        <v>Deve executar RF21 (Enviar Notificação)</v>
      </c>
      <c r="H13" s="20"/>
      <c r="I13" s="10"/>
    </row>
    <row r="14" spans="1:9" ht="15.75" customHeight="1" x14ac:dyDescent="0.3">
      <c r="A14" s="19"/>
      <c r="B14" s="5" t="s">
        <v>52</v>
      </c>
      <c r="C14" s="6" t="s">
        <v>53</v>
      </c>
      <c r="D14" s="7" t="s">
        <v>54</v>
      </c>
      <c r="E14" s="5" t="s">
        <v>39</v>
      </c>
      <c r="F14" s="5" t="s">
        <v>12</v>
      </c>
      <c r="G14" s="8" t="str">
        <f>"Pode executar " &amp; B$17 &amp; " (" &amp; C$17 &amp; ")"</f>
        <v>Pode executar RF16 (Calcular Baixa de Estoque)</v>
      </c>
      <c r="H14" s="17" t="s">
        <v>127</v>
      </c>
    </row>
    <row r="15" spans="1:9" ht="15.75" customHeight="1" x14ac:dyDescent="0.3">
      <c r="A15" s="19"/>
      <c r="B15" s="5" t="s">
        <v>55</v>
      </c>
      <c r="C15" s="6" t="s">
        <v>56</v>
      </c>
      <c r="D15" s="7" t="s">
        <v>57</v>
      </c>
      <c r="E15" s="5" t="s">
        <v>39</v>
      </c>
      <c r="F15" s="5" t="s">
        <v>12</v>
      </c>
      <c r="G15" s="8"/>
    </row>
    <row r="16" spans="1:9" ht="15.75" customHeight="1" x14ac:dyDescent="0.3">
      <c r="A16" s="19"/>
      <c r="B16" s="5" t="s">
        <v>58</v>
      </c>
      <c r="C16" s="6" t="s">
        <v>59</v>
      </c>
      <c r="D16" s="7" t="s">
        <v>60</v>
      </c>
      <c r="E16" s="5" t="s">
        <v>39</v>
      </c>
      <c r="F16" s="5" t="s">
        <v>12</v>
      </c>
      <c r="G16" s="8"/>
    </row>
    <row r="17" spans="1:8" ht="15.75" customHeight="1" x14ac:dyDescent="0.3">
      <c r="A17" s="19"/>
      <c r="B17" s="5" t="s">
        <v>61</v>
      </c>
      <c r="C17" s="6" t="s">
        <v>62</v>
      </c>
      <c r="D17" s="7" t="s">
        <v>63</v>
      </c>
      <c r="E17" s="5" t="s">
        <v>39</v>
      </c>
      <c r="F17" s="5" t="s">
        <v>12</v>
      </c>
      <c r="G17" s="8" t="str">
        <f>"Pode executar " &amp; B$23 &amp; " (" &amp; C$23 &amp; ")"</f>
        <v>Pode executar RF22 (Enviar Alerta de Estoque)</v>
      </c>
      <c r="H17" s="17" t="s">
        <v>126</v>
      </c>
    </row>
    <row r="18" spans="1:8" ht="15.75" customHeight="1" x14ac:dyDescent="0.3">
      <c r="A18" s="19"/>
      <c r="B18" s="5" t="s">
        <v>64</v>
      </c>
      <c r="C18" s="6" t="s">
        <v>65</v>
      </c>
      <c r="D18" s="7" t="s">
        <v>66</v>
      </c>
      <c r="E18" s="5" t="s">
        <v>27</v>
      </c>
      <c r="F18" s="5" t="s">
        <v>12</v>
      </c>
      <c r="G18" s="8" t="str">
        <f t="shared" ref="G18:G19" si="2">"Deve executar " &amp; $B$21 &amp; " (" &amp; C$21 &amp; ")"</f>
        <v>Deve executar RF20 (Emitir Nota Fiscal Eletrônica)</v>
      </c>
      <c r="H18" s="17" t="s">
        <v>128</v>
      </c>
    </row>
    <row r="19" spans="1:8" ht="15.75" customHeight="1" x14ac:dyDescent="0.3">
      <c r="A19" s="19"/>
      <c r="B19" s="5" t="s">
        <v>67</v>
      </c>
      <c r="C19" s="6" t="s">
        <v>68</v>
      </c>
      <c r="D19" s="7" t="s">
        <v>69</v>
      </c>
      <c r="E19" s="5" t="s">
        <v>70</v>
      </c>
      <c r="F19" s="5" t="s">
        <v>12</v>
      </c>
      <c r="G19" s="8" t="str">
        <f t="shared" si="2"/>
        <v>Deve executar RF20 (Emitir Nota Fiscal Eletrônica)</v>
      </c>
    </row>
    <row r="20" spans="1:8" ht="15.75" customHeight="1" x14ac:dyDescent="0.3">
      <c r="A20" s="19"/>
      <c r="B20" s="5" t="s">
        <v>71</v>
      </c>
      <c r="C20" s="6" t="s">
        <v>72</v>
      </c>
      <c r="D20" s="7" t="s">
        <v>73</v>
      </c>
      <c r="E20" s="5" t="s">
        <v>74</v>
      </c>
      <c r="F20" s="5" t="s">
        <v>12</v>
      </c>
      <c r="G20" s="8"/>
    </row>
    <row r="21" spans="1:8" ht="15.75" customHeight="1" x14ac:dyDescent="0.3">
      <c r="A21" s="19"/>
      <c r="B21" s="5" t="s">
        <v>75</v>
      </c>
      <c r="C21" s="6" t="s">
        <v>76</v>
      </c>
      <c r="D21" s="7" t="s">
        <v>77</v>
      </c>
      <c r="E21" s="5" t="s">
        <v>78</v>
      </c>
      <c r="F21" s="5" t="s">
        <v>79</v>
      </c>
      <c r="G21" s="8"/>
    </row>
    <row r="22" spans="1:8" ht="15.75" customHeight="1" x14ac:dyDescent="0.3">
      <c r="A22" s="19"/>
      <c r="B22" s="5" t="s">
        <v>80</v>
      </c>
      <c r="C22" s="6" t="s">
        <v>81</v>
      </c>
      <c r="D22" s="7" t="s">
        <v>82</v>
      </c>
      <c r="E22" s="5" t="s">
        <v>78</v>
      </c>
      <c r="F22" s="5" t="s">
        <v>20</v>
      </c>
      <c r="G22" s="8"/>
    </row>
    <row r="23" spans="1:8" ht="15.75" customHeight="1" x14ac:dyDescent="0.3">
      <c r="A23" s="19"/>
      <c r="B23" s="5" t="s">
        <v>83</v>
      </c>
      <c r="C23" s="6" t="s">
        <v>84</v>
      </c>
      <c r="D23" s="7" t="s">
        <v>85</v>
      </c>
      <c r="E23" s="5" t="s">
        <v>78</v>
      </c>
      <c r="F23" s="5" t="s">
        <v>20</v>
      </c>
      <c r="G23" s="8"/>
    </row>
    <row r="24" spans="1:8" ht="15.75" customHeight="1" x14ac:dyDescent="0.3">
      <c r="A24" s="19"/>
      <c r="B24" s="5" t="s">
        <v>86</v>
      </c>
      <c r="C24" s="6" t="s">
        <v>87</v>
      </c>
      <c r="D24" s="7" t="s">
        <v>88</v>
      </c>
      <c r="E24" s="5" t="s">
        <v>34</v>
      </c>
      <c r="F24" s="5" t="s">
        <v>20</v>
      </c>
      <c r="G24" s="8"/>
    </row>
    <row r="25" spans="1:8" ht="47.2" x14ac:dyDescent="0.3">
      <c r="A25" s="19"/>
      <c r="B25" s="5" t="s">
        <v>89</v>
      </c>
      <c r="C25" s="6" t="s">
        <v>90</v>
      </c>
      <c r="D25" s="7" t="s">
        <v>91</v>
      </c>
      <c r="E25" s="5" t="s">
        <v>34</v>
      </c>
      <c r="F25" s="5" t="s">
        <v>20</v>
      </c>
      <c r="G25" s="8"/>
    </row>
    <row r="26" spans="1:8" ht="31.5" x14ac:dyDescent="0.3">
      <c r="A26" s="19"/>
      <c r="B26" s="5" t="s">
        <v>92</v>
      </c>
      <c r="C26" s="6" t="s">
        <v>93</v>
      </c>
      <c r="D26" s="7" t="s">
        <v>94</v>
      </c>
      <c r="E26" s="5" t="s">
        <v>34</v>
      </c>
      <c r="F26" s="5" t="s">
        <v>12</v>
      </c>
      <c r="G26" s="8"/>
    </row>
    <row r="27" spans="1:8" x14ac:dyDescent="0.3">
      <c r="A27" s="4"/>
      <c r="B27" s="5"/>
      <c r="C27" s="6"/>
      <c r="D27" s="7"/>
      <c r="E27" s="5"/>
      <c r="F27" s="5"/>
      <c r="G27" s="8"/>
    </row>
    <row r="28" spans="1:8" ht="31.5" x14ac:dyDescent="0.3">
      <c r="A28" s="18" t="s">
        <v>95</v>
      </c>
      <c r="B28" s="5" t="s">
        <v>96</v>
      </c>
      <c r="C28" s="6" t="s">
        <v>97</v>
      </c>
      <c r="D28" s="13" t="s">
        <v>119</v>
      </c>
      <c r="E28" s="5" t="s">
        <v>98</v>
      </c>
      <c r="F28" s="5" t="s">
        <v>12</v>
      </c>
      <c r="G28" s="8"/>
    </row>
    <row r="29" spans="1:8" x14ac:dyDescent="0.3">
      <c r="A29" s="19"/>
      <c r="B29" s="5" t="s">
        <v>99</v>
      </c>
      <c r="C29" s="6" t="s">
        <v>100</v>
      </c>
      <c r="D29" s="7" t="s">
        <v>123</v>
      </c>
      <c r="E29" s="5" t="s">
        <v>98</v>
      </c>
      <c r="F29" s="5" t="s">
        <v>12</v>
      </c>
      <c r="G29" s="8"/>
    </row>
    <row r="30" spans="1:8" ht="31.5" x14ac:dyDescent="0.3">
      <c r="A30" s="19"/>
      <c r="B30" s="5" t="s">
        <v>101</v>
      </c>
      <c r="C30" s="6" t="s">
        <v>129</v>
      </c>
      <c r="D30" s="13" t="s">
        <v>120</v>
      </c>
      <c r="E30" s="5" t="s">
        <v>98</v>
      </c>
      <c r="F30" s="5" t="s">
        <v>12</v>
      </c>
      <c r="G30" s="8"/>
    </row>
    <row r="31" spans="1:8" ht="31.5" x14ac:dyDescent="0.3">
      <c r="A31" s="19"/>
      <c r="B31" s="5" t="s">
        <v>102</v>
      </c>
      <c r="C31" s="6" t="s">
        <v>103</v>
      </c>
      <c r="D31" s="7" t="s">
        <v>104</v>
      </c>
      <c r="E31" s="5" t="s">
        <v>98</v>
      </c>
      <c r="F31" s="5" t="s">
        <v>12</v>
      </c>
      <c r="G31" s="8"/>
    </row>
    <row r="32" spans="1:8" ht="62.95" x14ac:dyDescent="0.3">
      <c r="A32" s="19"/>
      <c r="B32" s="5" t="s">
        <v>105</v>
      </c>
      <c r="C32" s="6" t="s">
        <v>106</v>
      </c>
      <c r="D32" s="7" t="s">
        <v>107</v>
      </c>
      <c r="E32" s="5" t="s">
        <v>98</v>
      </c>
      <c r="F32" s="5" t="s">
        <v>12</v>
      </c>
      <c r="G32" s="8"/>
    </row>
    <row r="33" spans="1:7" ht="31.5" x14ac:dyDescent="0.3">
      <c r="A33" s="19"/>
      <c r="B33" s="5" t="s">
        <v>108</v>
      </c>
      <c r="C33" s="6" t="s">
        <v>109</v>
      </c>
      <c r="D33" s="7" t="s">
        <v>110</v>
      </c>
      <c r="E33" s="5" t="s">
        <v>98</v>
      </c>
      <c r="F33" s="5" t="s">
        <v>12</v>
      </c>
      <c r="G33" s="8"/>
    </row>
    <row r="34" spans="1:7" ht="47.2" x14ac:dyDescent="0.3">
      <c r="A34" s="19"/>
      <c r="B34" s="5" t="s">
        <v>111</v>
      </c>
      <c r="C34" s="6" t="s">
        <v>112</v>
      </c>
      <c r="D34" s="7" t="s">
        <v>113</v>
      </c>
      <c r="E34" s="5" t="s">
        <v>98</v>
      </c>
      <c r="F34" s="5" t="s">
        <v>12</v>
      </c>
      <c r="G34" s="8"/>
    </row>
    <row r="35" spans="1:7" ht="31.5" x14ac:dyDescent="0.3">
      <c r="A35" s="19"/>
      <c r="B35" s="5" t="s">
        <v>114</v>
      </c>
      <c r="C35" s="6" t="s">
        <v>115</v>
      </c>
      <c r="D35" s="13" t="s">
        <v>122</v>
      </c>
      <c r="E35" s="5" t="s">
        <v>98</v>
      </c>
      <c r="F35" s="5" t="s">
        <v>12</v>
      </c>
      <c r="G35" s="14" t="s">
        <v>121</v>
      </c>
    </row>
    <row r="36" spans="1:7" ht="31.5" x14ac:dyDescent="0.3">
      <c r="A36" s="19"/>
      <c r="B36" s="5" t="s">
        <v>116</v>
      </c>
      <c r="C36" s="5" t="s">
        <v>109</v>
      </c>
      <c r="D36" s="7" t="s">
        <v>117</v>
      </c>
    </row>
    <row r="37" spans="1:7" ht="15.75" customHeight="1" x14ac:dyDescent="0.3">
      <c r="A37" s="19"/>
      <c r="C37" s="15" t="s">
        <v>106</v>
      </c>
      <c r="D37" s="13" t="s">
        <v>124</v>
      </c>
    </row>
    <row r="38" spans="1:7" ht="15.75" customHeight="1" x14ac:dyDescent="0.25">
      <c r="A38" s="19"/>
    </row>
    <row r="39" spans="1:7" ht="15.75" customHeight="1" x14ac:dyDescent="0.25">
      <c r="A39" s="19"/>
    </row>
    <row r="40" spans="1:7" ht="15.75" customHeight="1" x14ac:dyDescent="0.25">
      <c r="A40" s="19"/>
    </row>
    <row r="41" spans="1:7" ht="15.75" customHeight="1" x14ac:dyDescent="0.25">
      <c r="A41" s="19"/>
    </row>
    <row r="42" spans="1:7" ht="15.75" customHeight="1" x14ac:dyDescent="0.25">
      <c r="A42" s="19"/>
    </row>
    <row r="43" spans="1:7" ht="15.75" customHeight="1" x14ac:dyDescent="0.25">
      <c r="A43" s="19"/>
    </row>
    <row r="44" spans="1:7" ht="15.75" customHeight="1" x14ac:dyDescent="0.25">
      <c r="A44" s="19"/>
    </row>
    <row r="45" spans="1:7" ht="15.75" customHeight="1" x14ac:dyDescent="0.25">
      <c r="A45" s="19"/>
    </row>
    <row r="46" spans="1:7" ht="15.75" customHeight="1" x14ac:dyDescent="0.25">
      <c r="A46" s="19"/>
    </row>
    <row r="47" spans="1:7" ht="15.75" customHeight="1" x14ac:dyDescent="0.25">
      <c r="A47" s="19"/>
    </row>
    <row r="48" spans="1:7" ht="15.75" customHeight="1" x14ac:dyDescent="0.25">
      <c r="A48" s="19"/>
    </row>
    <row r="49" spans="1:2" ht="15.75" customHeight="1" x14ac:dyDescent="0.25">
      <c r="A49" s="19"/>
    </row>
    <row r="50" spans="1:2" ht="15.75" customHeight="1" x14ac:dyDescent="0.25">
      <c r="A50" s="19"/>
    </row>
    <row r="51" spans="1:2" ht="15.75" customHeight="1" x14ac:dyDescent="0.25">
      <c r="A51" s="19"/>
    </row>
    <row r="55" spans="1:2" ht="13.35" x14ac:dyDescent="0.25">
      <c r="B55" s="11" t="s">
        <v>118</v>
      </c>
    </row>
    <row r="60" spans="1:2" x14ac:dyDescent="0.3">
      <c r="A60" s="9"/>
      <c r="B60" s="10"/>
    </row>
    <row r="61" spans="1:2" x14ac:dyDescent="0.3">
      <c r="A61" s="9"/>
      <c r="B61" s="10"/>
    </row>
    <row r="62" spans="1:2" ht="14.55" x14ac:dyDescent="0.3">
      <c r="A62" s="9"/>
    </row>
    <row r="63" spans="1:2" ht="14.55" x14ac:dyDescent="0.3">
      <c r="A63" s="9"/>
    </row>
    <row r="64" spans="1:2" ht="14.55" x14ac:dyDescent="0.3">
      <c r="A64" s="9"/>
    </row>
    <row r="65" spans="1:3" ht="14.55" x14ac:dyDescent="0.3">
      <c r="A65" s="9"/>
    </row>
    <row r="66" spans="1:3" ht="14.55" x14ac:dyDescent="0.3">
      <c r="A66" s="9"/>
    </row>
    <row r="67" spans="1:3" ht="14.55" x14ac:dyDescent="0.3">
      <c r="A67" s="9"/>
      <c r="B67" s="12"/>
      <c r="C67" s="12"/>
    </row>
    <row r="68" spans="1:3" ht="13.35" x14ac:dyDescent="0.25">
      <c r="A68" s="12"/>
      <c r="B68" s="12"/>
      <c r="C68" s="12"/>
    </row>
    <row r="69" spans="1:3" ht="13.35" x14ac:dyDescent="0.25">
      <c r="A69" s="12"/>
      <c r="B69" s="12"/>
      <c r="C69" s="12"/>
    </row>
  </sheetData>
  <mergeCells count="3">
    <mergeCell ref="A2:A26"/>
    <mergeCell ref="A28:A51"/>
    <mergeCell ref="H9:H13"/>
  </mergeCells>
  <dataValidations count="1">
    <dataValidation type="list" allowBlank="1" showErrorMessage="1" sqref="F2:F35" xr:uid="{00000000-0002-0000-0000-000000000000}">
      <formula1>"Alta,Média,Baixa"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DENILCE DE ALMEIDA OLIVEIRA VELOSO</cp:lastModifiedBy>
  <dcterms:modified xsi:type="dcterms:W3CDTF">2026-04-02T23:42:45Z</dcterms:modified>
</cp:coreProperties>
</file>